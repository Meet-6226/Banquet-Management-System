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<sst xmlns="http://schemas.openxmlformats.org/spreadsheetml/2006/main" count="63" uniqueCount="58">
  <si>
    <t>Business Model</t>
  </si>
  <si>
    <t>Please note the prices stated below are per approximate basis and may not indicate the exact number</t>
  </si>
  <si>
    <t>Business Expenditures</t>
  </si>
  <si>
    <t>Revenue Model</t>
  </si>
  <si>
    <t>Target Audience Distribution</t>
  </si>
  <si>
    <t xml:space="preserve">Target Audience </t>
  </si>
  <si>
    <t>Suitable Plan</t>
  </si>
  <si>
    <t>Scalability Potential</t>
  </si>
  <si>
    <t>CAPEX (Capital Expenditure)</t>
  </si>
  <si>
    <t>OPEX (Operational Expenditure)</t>
  </si>
  <si>
    <t>Plan Name</t>
  </si>
  <si>
    <t>Target Size</t>
  </si>
  <si>
    <t>Branches</t>
  </si>
  <si>
    <t>Users</t>
  </si>
  <si>
    <t>Monthly Price</t>
  </si>
  <si>
    <t>small banquet owners (Single location)</t>
  </si>
  <si>
    <t>Starter (₹4,999)</t>
  </si>
  <si>
    <t>Starter</t>
  </si>
  <si>
    <t>Single banquet</t>
  </si>
  <si>
    <t>Up to 4</t>
  </si>
  <si>
    <t>₹4,999</t>
  </si>
  <si>
    <t>Multi-branch venue chains (2–5 branches)</t>
  </si>
  <si>
    <t>Growth (₹9,999)</t>
  </si>
  <si>
    <t>Growth</t>
  </si>
  <si>
    <t>Multi-branch business</t>
  </si>
  <si>
    <t>Up to 5</t>
  </si>
  <si>
    <t>Up to 15</t>
  </si>
  <si>
    <t>₹9,999</t>
  </si>
  <si>
    <t>Large hotel &amp; franchise chains</t>
  </si>
  <si>
    <t>Enterprise (₹19,999+)</t>
  </si>
  <si>
    <t>Item</t>
  </si>
  <si>
    <t>Quantity</t>
  </si>
  <si>
    <t>Unit Cost (₹)</t>
  </si>
  <si>
    <t>Total (₹)</t>
  </si>
  <si>
    <t xml:space="preserve">Monthly Cost </t>
  </si>
  <si>
    <t xml:space="preserve">Annual Cost </t>
  </si>
  <si>
    <t>Enterprise</t>
  </si>
  <si>
    <t>Large chains</t>
  </si>
  <si>
    <t>Unlimited</t>
  </si>
  <si>
    <t>₹19,999+</t>
  </si>
  <si>
    <t>Backup/Storage</t>
  </si>
  <si>
    <t>–</t>
  </si>
  <si>
    <t>Server &amp; Cloud Costs</t>
  </si>
  <si>
    <t>Company registration + legal</t>
  </si>
  <si>
    <t xml:space="preserve">SaaS tools </t>
  </si>
  <si>
    <t>Website + branding</t>
  </si>
  <si>
    <t>Marketing ads</t>
  </si>
  <si>
    <t>initial cloud infra setup</t>
  </si>
  <si>
    <t>Accounting/legal</t>
  </si>
  <si>
    <t>Domain &amp; Hosting (1 yr)</t>
  </si>
  <si>
    <t>Miscellaneous</t>
  </si>
  <si>
    <t>Total CAPEX</t>
  </si>
  <si>
    <t>Total OPEX</t>
  </si>
  <si>
    <t xml:space="preserve">Competitor analysis </t>
  </si>
  <si>
    <t xml:space="preserve">Summary </t>
  </si>
  <si>
    <t>Category</t>
  </si>
  <si>
    <t>Year-1 (₹)</t>
  </si>
  <si>
    <t>Total Year-1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</si>
</sst>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Lora"/>
    </font>
    <font/>
    <font>
      <b/>
      <sz val="25.0"/>
      <color theme="1"/>
      <name val="Lora"/>
    </font>
    <font>
      <b/>
      <sz val="25.0"/>
      <color theme="1"/>
      <name val="Roboto Serif"/>
    </font>
    <font>
      <b/>
      <sz val="16.0"/>
      <color theme="1"/>
      <name val="Lora"/>
    </font>
    <font>
      <b/>
      <sz val="16.0"/>
      <color theme="1"/>
      <name val="Roboto Serif"/>
    </font>
    <font>
      <b/>
      <color theme="1"/>
      <name val="Lora"/>
    </font>
    <font>
      <b/>
      <sz val="17.0"/>
      <color theme="1"/>
      <name val="Lora"/>
    </font>
    <font>
      <color theme="1"/>
      <name val="Arial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Lora"/>
    </font>
    <font>
      <sz val="10.0"/>
      <color theme="1"/>
      <name val="Arial"/>
      <scheme val="minor"/>
    </font>
    <font>
      <u/>
      <color rgb="FF1155CC"/>
      <name val="Arial"/>
    </font>
    <font>
      <i/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DA66"/>
        <bgColor rgb="FFFFDA66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horizontal="center" readingOrder="0" vertical="bottom"/>
    </xf>
    <xf borderId="10" fillId="0" fontId="4" numFmtId="0" xfId="0" applyBorder="1" applyFont="1"/>
    <xf borderId="11" fillId="0" fontId="4" numFmtId="0" xfId="0" applyBorder="1" applyFont="1"/>
    <xf borderId="1" fillId="3" fontId="5" numFmtId="0" xfId="0" applyAlignment="1" applyBorder="1" applyFill="1" applyFont="1">
      <alignment horizontal="center" vertical="center"/>
    </xf>
    <xf borderId="0" fillId="4" fontId="6" numFmtId="0" xfId="0" applyAlignment="1" applyFill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3" fontId="7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2" fillId="5" fontId="9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 vertical="center"/>
    </xf>
    <xf borderId="1" fillId="6" fontId="10" numFmtId="0" xfId="0" applyAlignment="1" applyBorder="1" applyFill="1" applyFont="1">
      <alignment horizontal="center" readingOrder="0" vertical="center"/>
    </xf>
    <xf borderId="12" fillId="5" fontId="11" numFmtId="0" xfId="0" applyAlignment="1" applyBorder="1" applyFont="1">
      <alignment horizontal="center" vertical="bottom"/>
    </xf>
    <xf borderId="12" fillId="5" fontId="11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readingOrder="0"/>
    </xf>
    <xf borderId="12" fillId="0" fontId="2" numFmtId="9" xfId="0" applyAlignment="1" applyBorder="1" applyFont="1" applyNumberFormat="1">
      <alignment horizontal="center" readingOrder="0"/>
    </xf>
    <xf borderId="4" fillId="4" fontId="12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center" vertical="bottom"/>
    </xf>
    <xf borderId="12" fillId="0" fontId="2" numFmtId="3" xfId="0" applyAlignment="1" applyBorder="1" applyFont="1" applyNumberFormat="1">
      <alignment horizontal="center" readingOrder="0"/>
    </xf>
    <xf borderId="12" fillId="0" fontId="11" numFmtId="0" xfId="0" applyAlignment="1" applyBorder="1" applyFont="1">
      <alignment vertical="bottom"/>
    </xf>
    <xf borderId="12" fillId="0" fontId="11" numFmtId="3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3" fillId="0" fontId="1" numFmtId="3" xfId="0" applyAlignment="1" applyBorder="1" applyFont="1" applyNumberFormat="1">
      <alignment horizontal="center" readingOrder="0"/>
    </xf>
    <xf borderId="12" fillId="0" fontId="1" numFmtId="3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4" fontId="2" numFmtId="0" xfId="0" applyFont="1"/>
    <xf borderId="0" fillId="0" fontId="1" numFmtId="0" xfId="0" applyAlignment="1" applyFont="1">
      <alignment readingOrder="0"/>
    </xf>
    <xf borderId="0" fillId="4" fontId="7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/>
    </xf>
    <xf borderId="0" fillId="4" fontId="13" numFmtId="0" xfId="0" applyFont="1"/>
    <xf borderId="1" fillId="3" fontId="3" numFmtId="0" xfId="0" applyAlignment="1" applyBorder="1" applyFont="1">
      <alignment horizontal="center" readingOrder="0" vertical="center"/>
    </xf>
    <xf borderId="0" fillId="4" fontId="14" numFmtId="0" xfId="0" applyAlignment="1" applyFont="1">
      <alignment horizontal="center" readingOrder="0"/>
    </xf>
    <xf borderId="0" fillId="4" fontId="1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2" fillId="5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4" fontId="15" numFmtId="3" xfId="0" applyAlignment="1" applyFont="1" applyNumberFormat="1">
      <alignment horizontal="center" readingOrder="0"/>
    </xf>
    <xf borderId="0" fillId="0" fontId="16" numFmtId="0" xfId="0" applyAlignment="1" applyFont="1">
      <alignment vertical="bottom"/>
    </xf>
    <xf borderId="0" fillId="4" fontId="15" numFmtId="0" xfId="0" applyAlignment="1" applyFont="1">
      <alignment horizontal="center"/>
    </xf>
    <xf borderId="0" fillId="4" fontId="17" numFmtId="3" xfId="0" applyAlignment="1" applyFont="1" applyNumberFormat="1">
      <alignment horizontal="center" readingOrder="0"/>
    </xf>
    <xf borderId="0" fillId="4" fontId="18" numFmtId="0" xfId="0" applyAlignment="1" applyFont="1">
      <alignment horizontal="center" readingOrder="0"/>
    </xf>
    <xf borderId="0" fillId="0" fontId="1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Audience Distribution (Approximate numbers)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B7B7B7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dPt>
            <c:idx val="2"/>
            <c:spPr>
              <a:solidFill>
                <a:srgbClr val="FFDA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Sheet1!$W$23:$W$25</c:f>
            </c:strRef>
          </c:cat>
          <c:val>
            <c:numRef>
              <c:f>Sheet1!$X$23:$X$25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Capex expenditure graph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Sheet1!$F$25:$F$26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Sheet1!$C$27:$C$31</c:f>
            </c:strRef>
          </c:cat>
          <c:val>
            <c:numRef>
              <c:f>Sheet1!$F$27:$F$33</c:f>
              <c:numCache/>
            </c:numRef>
          </c:val>
        </c:ser>
        <c:axId val="1673163429"/>
        <c:axId val="944632438"/>
      </c:barChart>
      <c:catAx>
        <c:axId val="1673163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632438"/>
      </c:catAx>
      <c:valAx>
        <c:axId val="944632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163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Sheet1!$J$25:$J$26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Sheet1!$H$27:$H$31</c:f>
            </c:strRef>
          </c:cat>
          <c:val>
            <c:numRef>
              <c:f>Sheet1!$J$27:$J$31</c:f>
              <c:numCache/>
            </c:numRef>
          </c:val>
        </c:ser>
        <c:axId val="1122488739"/>
        <c:axId val="2101351741"/>
      </c:barChart>
      <c:catAx>
        <c:axId val="1122488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351741"/>
      </c:catAx>
      <c:valAx>
        <c:axId val="210135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488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Sheet1!$D$57:$D$58</c:f>
            </c:strRef>
          </c:tx>
          <c:dPt>
            <c:idx val="0"/>
            <c:spPr>
              <a:solidFill>
                <a:srgbClr val="A4C2F4"/>
              </a:solidFill>
            </c:spPr>
          </c:dPt>
          <c:dPt>
            <c:idx val="1"/>
            <c:spPr>
              <a:solidFill>
                <a:srgbClr val="FFD9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Sheet1!$C$59:$C$60</c:f>
            </c:strRef>
          </c:cat>
          <c:val>
            <c:numRef>
              <c:f>Sheet1!$D$59:$D$60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1809750</xdr:colOff>
      <xdr:row>26</xdr:row>
      <xdr:rowOff>114300</xdr:rowOff>
    </xdr:from>
    <xdr:ext cx="3829050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66675</xdr:colOff>
      <xdr:row>34</xdr:row>
      <xdr:rowOff>19050</xdr:rowOff>
    </xdr:from>
    <xdr:ext cx="5324475" cy="3257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1057275</xdr:colOff>
      <xdr:row>34</xdr:row>
      <xdr:rowOff>19050</xdr:rowOff>
    </xdr:from>
    <xdr:ext cx="5457825" cy="3381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504825</xdr:colOff>
      <xdr:row>52</xdr:row>
      <xdr:rowOff>19050</xdr:rowOff>
    </xdr:from>
    <xdr:ext cx="7143750" cy="2657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0.63"/>
    <col customWidth="1" min="3" max="3" width="27.5"/>
    <col customWidth="1" min="4" max="4" width="15.38"/>
    <col customWidth="1" min="5" max="5" width="24.38"/>
    <col customWidth="1" min="6" max="6" width="19.25"/>
    <col customWidth="1" min="7" max="7" width="17.25"/>
    <col customWidth="1" min="8" max="8" width="28.0"/>
    <col customWidth="1" min="9" max="9" width="18.75"/>
    <col customWidth="1" min="10" max="10" width="17.63"/>
    <col customWidth="1" min="11" max="11" width="24.75"/>
    <col customWidth="1" min="13" max="13" width="15.25"/>
    <col customWidth="1" min="14" max="14" width="23.88"/>
    <col customWidth="1" min="15" max="15" width="18.38"/>
    <col customWidth="1" min="16" max="17" width="15.0"/>
    <col customWidth="1" min="19" max="19" width="12.5"/>
    <col customWidth="1" min="20" max="20" width="17.25"/>
    <col customWidth="1" min="21" max="21" width="19.0"/>
    <col customWidth="1" min="22" max="23" width="33.88"/>
    <col customWidth="1" min="24" max="24" width="21.25"/>
    <col customWidth="1" min="25" max="25" width="20.13"/>
    <col customWidth="1" min="27" max="27" width="20.75"/>
    <col customWidth="1" min="29" max="29" width="18.5"/>
    <col customWidth="1" min="31" max="31" width="19.5"/>
  </cols>
  <sheetData>
    <row r="1">
      <c r="A1" s="1"/>
      <c r="B1" s="1"/>
      <c r="C1" s="1"/>
      <c r="D1" s="1"/>
      <c r="E1" s="2"/>
    </row>
    <row r="2">
      <c r="A2" s="1"/>
      <c r="B2" s="1"/>
      <c r="C2" s="1"/>
    </row>
    <row r="4">
      <c r="K4" s="3" t="s">
        <v>0</v>
      </c>
      <c r="L4" s="4"/>
      <c r="M4" s="5"/>
    </row>
    <row r="5">
      <c r="K5" s="6"/>
      <c r="M5" s="7"/>
    </row>
    <row r="6">
      <c r="A6" s="1"/>
      <c r="B6" s="1"/>
      <c r="C6" s="1"/>
      <c r="D6" s="1"/>
      <c r="K6" s="6"/>
      <c r="M6" s="7"/>
    </row>
    <row r="7">
      <c r="A7" s="1"/>
      <c r="B7" s="1"/>
      <c r="C7" s="1"/>
      <c r="D7" s="1"/>
      <c r="K7" s="8"/>
      <c r="L7" s="9"/>
      <c r="M7" s="10"/>
    </row>
    <row r="8">
      <c r="A8" s="1"/>
    </row>
    <row r="9">
      <c r="H9" s="11" t="s">
        <v>1</v>
      </c>
      <c r="I9" s="12"/>
      <c r="J9" s="12"/>
      <c r="K9" s="12"/>
      <c r="L9" s="12"/>
      <c r="M9" s="12"/>
      <c r="N9" s="12"/>
      <c r="O9" s="12"/>
      <c r="P9" s="12"/>
      <c r="Q9" s="13"/>
    </row>
    <row r="16">
      <c r="B16" s="14" t="s">
        <v>2</v>
      </c>
      <c r="C16" s="4"/>
      <c r="D16" s="4"/>
      <c r="E16" s="4"/>
      <c r="F16" s="4"/>
      <c r="G16" s="4"/>
      <c r="H16" s="4"/>
      <c r="I16" s="4"/>
      <c r="J16" s="4"/>
      <c r="K16" s="5"/>
      <c r="L16" s="15"/>
      <c r="M16" s="16"/>
      <c r="N16" s="17"/>
      <c r="O16" s="17"/>
      <c r="P16" s="17"/>
      <c r="Q16" s="17"/>
      <c r="R16" s="17"/>
      <c r="S16" s="18"/>
      <c r="U16" s="16"/>
      <c r="V16" s="17"/>
      <c r="W16" s="17"/>
      <c r="X16" s="17"/>
      <c r="Y16" s="18"/>
    </row>
    <row r="17">
      <c r="B17" s="6"/>
      <c r="K17" s="7"/>
      <c r="L17" s="15"/>
      <c r="M17" s="19"/>
      <c r="S17" s="20"/>
      <c r="U17" s="19"/>
      <c r="Y17" s="20"/>
    </row>
    <row r="18">
      <c r="B18" s="6"/>
      <c r="K18" s="7"/>
      <c r="L18" s="15"/>
      <c r="M18" s="19"/>
      <c r="N18" s="21" t="s">
        <v>3</v>
      </c>
      <c r="O18" s="4"/>
      <c r="P18" s="4"/>
      <c r="Q18" s="4"/>
      <c r="R18" s="5"/>
      <c r="S18" s="20"/>
      <c r="U18" s="19"/>
      <c r="V18" s="21" t="s">
        <v>4</v>
      </c>
      <c r="W18" s="4"/>
      <c r="X18" s="5"/>
      <c r="Y18" s="20"/>
      <c r="Z18" s="22"/>
    </row>
    <row r="19">
      <c r="B19" s="6"/>
      <c r="K19" s="7"/>
      <c r="L19" s="15"/>
      <c r="M19" s="19"/>
      <c r="N19" s="8"/>
      <c r="O19" s="9"/>
      <c r="P19" s="9"/>
      <c r="Q19" s="9"/>
      <c r="R19" s="10"/>
      <c r="S19" s="20"/>
      <c r="U19" s="19"/>
      <c r="V19" s="8"/>
      <c r="W19" s="9"/>
      <c r="X19" s="10"/>
      <c r="Y19" s="20"/>
      <c r="Z19" s="22"/>
    </row>
    <row r="20">
      <c r="B20" s="8"/>
      <c r="C20" s="9"/>
      <c r="D20" s="9"/>
      <c r="E20" s="9"/>
      <c r="F20" s="9"/>
      <c r="G20" s="9"/>
      <c r="H20" s="9"/>
      <c r="I20" s="9"/>
      <c r="J20" s="9"/>
      <c r="K20" s="10"/>
      <c r="L20" s="15"/>
      <c r="M20" s="19"/>
      <c r="S20" s="20"/>
      <c r="U20" s="19"/>
      <c r="Y20" s="20"/>
    </row>
    <row r="21">
      <c r="B21" s="19"/>
      <c r="K21" s="20"/>
      <c r="M21" s="19"/>
      <c r="S21" s="20"/>
      <c r="U21" s="19"/>
      <c r="Y21" s="20"/>
    </row>
    <row r="22">
      <c r="B22" s="19"/>
      <c r="K22" s="20"/>
      <c r="M22" s="19"/>
      <c r="N22" s="23"/>
      <c r="S22" s="20"/>
      <c r="U22" s="19"/>
      <c r="V22" s="24" t="s">
        <v>5</v>
      </c>
      <c r="W22" s="24" t="s">
        <v>6</v>
      </c>
      <c r="X22" s="24" t="s">
        <v>7</v>
      </c>
      <c r="Y22" s="20"/>
    </row>
    <row r="23">
      <c r="B23" s="25"/>
      <c r="C23" s="26" t="s">
        <v>8</v>
      </c>
      <c r="D23" s="4"/>
      <c r="E23" s="4"/>
      <c r="F23" s="5"/>
      <c r="H23" s="27" t="s">
        <v>9</v>
      </c>
      <c r="I23" s="4"/>
      <c r="J23" s="5"/>
      <c r="K23" s="20"/>
      <c r="M23" s="19"/>
      <c r="N23" s="28" t="s">
        <v>10</v>
      </c>
      <c r="O23" s="28" t="s">
        <v>11</v>
      </c>
      <c r="P23" s="28" t="s">
        <v>12</v>
      </c>
      <c r="Q23" s="28" t="s">
        <v>13</v>
      </c>
      <c r="R23" s="29" t="s">
        <v>14</v>
      </c>
      <c r="S23" s="20"/>
      <c r="U23" s="19"/>
      <c r="V23" s="30" t="s">
        <v>15</v>
      </c>
      <c r="W23" s="30" t="s">
        <v>16</v>
      </c>
      <c r="X23" s="31">
        <v>0.2</v>
      </c>
      <c r="Y23" s="20"/>
    </row>
    <row r="24">
      <c r="B24" s="32"/>
      <c r="C24" s="8"/>
      <c r="D24" s="9"/>
      <c r="E24" s="9"/>
      <c r="F24" s="10"/>
      <c r="H24" s="8"/>
      <c r="I24" s="9"/>
      <c r="J24" s="10"/>
      <c r="K24" s="20"/>
      <c r="M24" s="19"/>
      <c r="N24" s="33" t="s">
        <v>17</v>
      </c>
      <c r="O24" s="33" t="s">
        <v>18</v>
      </c>
      <c r="P24" s="33">
        <v>1.0</v>
      </c>
      <c r="Q24" s="33" t="s">
        <v>19</v>
      </c>
      <c r="R24" s="34" t="s">
        <v>20</v>
      </c>
      <c r="S24" s="20"/>
      <c r="U24" s="19"/>
      <c r="V24" s="30" t="s">
        <v>21</v>
      </c>
      <c r="W24" s="30" t="s">
        <v>22</v>
      </c>
      <c r="X24" s="31">
        <v>0.35</v>
      </c>
      <c r="Y24" s="20"/>
    </row>
    <row r="25">
      <c r="B25" s="25"/>
      <c r="C25" s="1"/>
      <c r="D25" s="1"/>
      <c r="E25" s="1"/>
      <c r="F25" s="2"/>
      <c r="K25" s="20"/>
      <c r="M25" s="19"/>
      <c r="N25" s="34" t="s">
        <v>23</v>
      </c>
      <c r="O25" s="34" t="s">
        <v>24</v>
      </c>
      <c r="P25" s="34" t="s">
        <v>25</v>
      </c>
      <c r="Q25" s="34" t="s">
        <v>26</v>
      </c>
      <c r="R25" s="34" t="s">
        <v>27</v>
      </c>
      <c r="S25" s="20"/>
      <c r="U25" s="19"/>
      <c r="V25" s="30" t="s">
        <v>28</v>
      </c>
      <c r="W25" s="30" t="s">
        <v>29</v>
      </c>
      <c r="X25" s="31">
        <v>0.45</v>
      </c>
      <c r="Y25" s="20"/>
    </row>
    <row r="26">
      <c r="B26" s="19"/>
      <c r="C26" s="24" t="s">
        <v>30</v>
      </c>
      <c r="D26" s="24" t="s">
        <v>31</v>
      </c>
      <c r="E26" s="24" t="s">
        <v>32</v>
      </c>
      <c r="F26" s="24" t="s">
        <v>33</v>
      </c>
      <c r="H26" s="24" t="s">
        <v>30</v>
      </c>
      <c r="I26" s="24" t="s">
        <v>34</v>
      </c>
      <c r="J26" s="24" t="s">
        <v>35</v>
      </c>
      <c r="K26" s="20"/>
      <c r="M26" s="19"/>
      <c r="N26" s="33" t="s">
        <v>36</v>
      </c>
      <c r="O26" s="34" t="s">
        <v>37</v>
      </c>
      <c r="P26" s="34" t="s">
        <v>38</v>
      </c>
      <c r="Q26" s="34" t="s">
        <v>38</v>
      </c>
      <c r="R26" s="34" t="s">
        <v>39</v>
      </c>
      <c r="S26" s="20"/>
      <c r="U26" s="19"/>
      <c r="Y26" s="20"/>
    </row>
    <row r="27">
      <c r="A27" s="2"/>
      <c r="B27" s="19"/>
      <c r="C27" s="30" t="s">
        <v>40</v>
      </c>
      <c r="D27" s="30" t="s">
        <v>41</v>
      </c>
      <c r="E27" s="35">
        <v>80000.0</v>
      </c>
      <c r="F27" s="35">
        <f t="shared" ref="F27:F31" si="1">PRODUCT(D27:E27)</f>
        <v>80000</v>
      </c>
      <c r="H27" s="36" t="s">
        <v>42</v>
      </c>
      <c r="I27" s="35">
        <f t="shared" ref="I27:I31" si="2">J27/12</f>
        <v>5000</v>
      </c>
      <c r="J27" s="37">
        <v>60000.0</v>
      </c>
      <c r="K27" s="20"/>
      <c r="M27" s="19"/>
      <c r="S27" s="20"/>
      <c r="U27" s="19"/>
      <c r="Y27" s="20"/>
    </row>
    <row r="28">
      <c r="A28" s="2"/>
      <c r="B28" s="19"/>
      <c r="C28" s="30" t="s">
        <v>43</v>
      </c>
      <c r="D28" s="30" t="s">
        <v>41</v>
      </c>
      <c r="E28" s="35">
        <v>15000.0</v>
      </c>
      <c r="F28" s="35">
        <f t="shared" si="1"/>
        <v>15000</v>
      </c>
      <c r="H28" s="36" t="s">
        <v>44</v>
      </c>
      <c r="I28" s="35">
        <f t="shared" si="2"/>
        <v>2083.333333</v>
      </c>
      <c r="J28" s="37">
        <v>25000.0</v>
      </c>
      <c r="K28" s="20"/>
      <c r="M28" s="19"/>
      <c r="S28" s="20"/>
      <c r="U28" s="19"/>
      <c r="Y28" s="20"/>
    </row>
    <row r="29">
      <c r="A29" s="2"/>
      <c r="B29" s="19"/>
      <c r="C29" s="30" t="s">
        <v>45</v>
      </c>
      <c r="D29" s="30">
        <v>1.0</v>
      </c>
      <c r="E29" s="35">
        <v>150000.0</v>
      </c>
      <c r="F29" s="35">
        <f t="shared" si="1"/>
        <v>150000</v>
      </c>
      <c r="H29" s="36" t="s">
        <v>46</v>
      </c>
      <c r="I29" s="35">
        <f t="shared" si="2"/>
        <v>8333.333333</v>
      </c>
      <c r="J29" s="37">
        <v>100000.0</v>
      </c>
      <c r="K29" s="20"/>
      <c r="M29" s="19"/>
      <c r="S29" s="20"/>
      <c r="U29" s="19"/>
      <c r="Y29" s="20"/>
    </row>
    <row r="30">
      <c r="A30" s="2"/>
      <c r="B30" s="19"/>
      <c r="C30" s="30" t="s">
        <v>47</v>
      </c>
      <c r="D30" s="30">
        <v>1.0</v>
      </c>
      <c r="E30" s="35">
        <v>50000.0</v>
      </c>
      <c r="F30" s="35">
        <f t="shared" si="1"/>
        <v>50000</v>
      </c>
      <c r="H30" s="36" t="s">
        <v>48</v>
      </c>
      <c r="I30" s="35">
        <f t="shared" si="2"/>
        <v>1666.666667</v>
      </c>
      <c r="J30" s="37">
        <v>20000.0</v>
      </c>
      <c r="K30" s="20"/>
      <c r="M30" s="19"/>
      <c r="S30" s="20"/>
      <c r="U30" s="19"/>
      <c r="Y30" s="20"/>
    </row>
    <row r="31">
      <c r="A31" s="2"/>
      <c r="B31" s="19"/>
      <c r="C31" s="30" t="s">
        <v>49</v>
      </c>
      <c r="D31" s="30">
        <v>1.0</v>
      </c>
      <c r="E31" s="35">
        <v>5000.0</v>
      </c>
      <c r="F31" s="35">
        <f t="shared" si="1"/>
        <v>5000</v>
      </c>
      <c r="H31" s="36" t="s">
        <v>50</v>
      </c>
      <c r="I31" s="35">
        <f t="shared" si="2"/>
        <v>1666.666667</v>
      </c>
      <c r="J31" s="37">
        <v>20000.0</v>
      </c>
      <c r="K31" s="20"/>
      <c r="M31" s="19"/>
      <c r="S31" s="20"/>
      <c r="U31" s="19"/>
      <c r="Y31" s="20"/>
    </row>
    <row r="32">
      <c r="A32" s="2"/>
      <c r="B32" s="19"/>
      <c r="C32" s="38" t="s">
        <v>51</v>
      </c>
      <c r="D32" s="39"/>
      <c r="E32" s="39"/>
      <c r="F32" s="40">
        <f>SUM(F27:F31)</f>
        <v>300000</v>
      </c>
      <c r="H32" s="38" t="s">
        <v>52</v>
      </c>
      <c r="I32" s="41">
        <f t="shared" ref="I32:J32" si="3">SUM(I27:I31)</f>
        <v>18750</v>
      </c>
      <c r="J32" s="41">
        <f t="shared" si="3"/>
        <v>225000</v>
      </c>
      <c r="K32" s="20"/>
      <c r="M32" s="19"/>
      <c r="S32" s="20"/>
      <c r="U32" s="19"/>
      <c r="Y32" s="20"/>
    </row>
    <row r="33">
      <c r="A33" s="2"/>
      <c r="B33" s="19"/>
      <c r="K33" s="20"/>
      <c r="M33" s="19"/>
      <c r="S33" s="20"/>
      <c r="U33" s="19"/>
      <c r="Y33" s="20"/>
    </row>
    <row r="34">
      <c r="A34" s="2"/>
      <c r="B34" s="19"/>
      <c r="K34" s="20"/>
      <c r="M34" s="19"/>
      <c r="S34" s="20"/>
      <c r="U34" s="19"/>
      <c r="Y34" s="20"/>
    </row>
    <row r="35">
      <c r="A35" s="2"/>
      <c r="B35" s="19"/>
      <c r="K35" s="20"/>
      <c r="M35" s="19"/>
      <c r="S35" s="20"/>
      <c r="U35" s="19"/>
      <c r="Y35" s="20"/>
    </row>
    <row r="36">
      <c r="B36" s="19"/>
      <c r="K36" s="20"/>
      <c r="M36" s="19"/>
      <c r="S36" s="20"/>
      <c r="U36" s="19"/>
      <c r="Y36" s="20"/>
    </row>
    <row r="37">
      <c r="B37" s="19"/>
      <c r="K37" s="20"/>
      <c r="M37" s="19"/>
      <c r="S37" s="20"/>
      <c r="U37" s="19"/>
      <c r="Y37" s="20"/>
    </row>
    <row r="38">
      <c r="B38" s="19"/>
      <c r="K38" s="20"/>
      <c r="M38" s="19"/>
      <c r="S38" s="20"/>
      <c r="U38" s="19"/>
      <c r="Y38" s="20"/>
    </row>
    <row r="39">
      <c r="B39" s="19"/>
      <c r="K39" s="20"/>
      <c r="M39" s="19"/>
      <c r="S39" s="20"/>
      <c r="U39" s="19"/>
      <c r="Y39" s="20"/>
    </row>
    <row r="40">
      <c r="B40" s="19"/>
      <c r="K40" s="20"/>
      <c r="M40" s="19"/>
      <c r="S40" s="20"/>
      <c r="U40" s="19"/>
      <c r="Y40" s="20"/>
    </row>
    <row r="41">
      <c r="B41" s="19"/>
      <c r="K41" s="20"/>
      <c r="M41" s="19"/>
      <c r="S41" s="20"/>
      <c r="U41" s="19"/>
      <c r="Y41" s="20"/>
    </row>
    <row r="42">
      <c r="B42" s="19"/>
      <c r="K42" s="20"/>
      <c r="M42" s="19"/>
      <c r="S42" s="20"/>
      <c r="U42" s="19"/>
      <c r="Y42" s="20"/>
    </row>
    <row r="43">
      <c r="A43" s="2"/>
      <c r="B43" s="19"/>
      <c r="K43" s="20"/>
      <c r="M43" s="19"/>
      <c r="S43" s="20"/>
      <c r="U43" s="19"/>
      <c r="Y43" s="20"/>
    </row>
    <row r="44">
      <c r="A44" s="2"/>
      <c r="B44" s="19"/>
      <c r="K44" s="20"/>
      <c r="M44" s="19"/>
      <c r="S44" s="20"/>
      <c r="U44" s="19"/>
      <c r="Y44" s="20"/>
    </row>
    <row r="45">
      <c r="A45" s="2"/>
      <c r="B45" s="19"/>
      <c r="K45" s="20"/>
      <c r="M45" s="42"/>
      <c r="N45" s="43"/>
      <c r="O45" s="43"/>
      <c r="P45" s="43"/>
      <c r="Q45" s="43"/>
      <c r="R45" s="43"/>
      <c r="S45" s="44"/>
      <c r="U45" s="42"/>
      <c r="V45" s="43"/>
      <c r="W45" s="43"/>
      <c r="X45" s="43"/>
      <c r="Y45" s="44"/>
    </row>
    <row r="46">
      <c r="B46" s="19"/>
      <c r="K46" s="20"/>
    </row>
    <row r="47">
      <c r="B47" s="19"/>
      <c r="K47" s="20"/>
    </row>
    <row r="48">
      <c r="B48" s="19"/>
      <c r="K48" s="20"/>
    </row>
    <row r="49">
      <c r="B49" s="19"/>
      <c r="K49" s="20"/>
      <c r="L49" s="45"/>
      <c r="M49" s="45"/>
      <c r="N49" s="45"/>
      <c r="O49" s="45"/>
      <c r="P49" s="45"/>
      <c r="Q49" s="45"/>
      <c r="R49" s="45"/>
    </row>
    <row r="50">
      <c r="B50" s="19"/>
      <c r="K50" s="20"/>
      <c r="L50" s="45"/>
      <c r="M50" s="45"/>
      <c r="N50" s="45"/>
      <c r="O50" s="45"/>
      <c r="P50" s="45"/>
      <c r="Q50" s="45"/>
      <c r="R50" s="45"/>
      <c r="AE50" s="46"/>
      <c r="AF50" s="46"/>
    </row>
    <row r="51">
      <c r="A51" s="2"/>
      <c r="B51" s="19"/>
      <c r="K51" s="20"/>
      <c r="L51" s="45"/>
      <c r="M51" s="45"/>
      <c r="N51" s="47"/>
      <c r="P51" s="45"/>
      <c r="Q51" s="45"/>
      <c r="R51" s="45"/>
    </row>
    <row r="52">
      <c r="A52" s="2"/>
      <c r="B52" s="19"/>
      <c r="K52" s="20"/>
      <c r="L52" s="45"/>
      <c r="M52" s="45"/>
      <c r="P52" s="45"/>
      <c r="Q52" s="45"/>
      <c r="R52" s="45"/>
    </row>
    <row r="53">
      <c r="B53" s="19"/>
      <c r="K53" s="20"/>
      <c r="L53" s="45"/>
      <c r="M53" s="45"/>
      <c r="N53" s="48"/>
      <c r="O53" s="48"/>
      <c r="P53" s="45"/>
      <c r="Q53" s="45"/>
      <c r="R53" s="45"/>
      <c r="U53" s="21" t="s">
        <v>53</v>
      </c>
      <c r="V53" s="4"/>
      <c r="W53" s="4"/>
      <c r="X53" s="4"/>
      <c r="Y53" s="5"/>
    </row>
    <row r="54">
      <c r="B54" s="19"/>
      <c r="K54" s="20"/>
      <c r="L54" s="45"/>
      <c r="M54" s="45"/>
      <c r="N54" s="49"/>
      <c r="O54" s="49"/>
      <c r="P54" s="45"/>
      <c r="Q54" s="45"/>
      <c r="R54" s="45"/>
      <c r="U54" s="8"/>
      <c r="V54" s="9"/>
      <c r="W54" s="9"/>
      <c r="X54" s="9"/>
      <c r="Y54" s="10"/>
    </row>
    <row r="55">
      <c r="B55" s="19"/>
      <c r="C55" s="50" t="s">
        <v>54</v>
      </c>
      <c r="D55" s="5"/>
      <c r="K55" s="20"/>
      <c r="L55" s="45"/>
      <c r="M55" s="45"/>
      <c r="N55" s="51"/>
      <c r="O55" s="51"/>
      <c r="P55" s="45"/>
      <c r="Q55" s="45"/>
      <c r="R55" s="45"/>
    </row>
    <row r="56">
      <c r="B56" s="19"/>
      <c r="C56" s="8"/>
      <c r="D56" s="10"/>
      <c r="K56" s="20"/>
      <c r="L56" s="45"/>
      <c r="M56" s="45"/>
      <c r="N56" s="52"/>
      <c r="O56" s="52"/>
      <c r="P56" s="45"/>
      <c r="Q56" s="45"/>
      <c r="R56" s="45"/>
      <c r="U56" s="53"/>
      <c r="X56" s="54"/>
      <c r="Y56" s="23"/>
    </row>
    <row r="57">
      <c r="B57" s="19"/>
      <c r="K57" s="20"/>
      <c r="L57" s="45"/>
      <c r="M57" s="45"/>
      <c r="N57" s="52"/>
      <c r="O57" s="52"/>
      <c r="P57" s="45"/>
      <c r="Q57" s="45"/>
      <c r="R57" s="45"/>
    </row>
    <row r="58">
      <c r="B58" s="19"/>
      <c r="C58" s="55" t="s">
        <v>55</v>
      </c>
      <c r="D58" s="55" t="s">
        <v>56</v>
      </c>
      <c r="K58" s="20"/>
      <c r="L58" s="45"/>
      <c r="M58" s="45"/>
      <c r="N58" s="52"/>
      <c r="O58" s="52"/>
      <c r="P58" s="45"/>
      <c r="Q58" s="45"/>
      <c r="R58" s="45"/>
      <c r="U58" s="56"/>
      <c r="X58" s="56"/>
      <c r="Y58" s="56"/>
    </row>
    <row r="59">
      <c r="B59" s="19"/>
      <c r="C59" s="30" t="s">
        <v>51</v>
      </c>
      <c r="D59" s="35">
        <f>F32</f>
        <v>300000</v>
      </c>
      <c r="K59" s="20"/>
      <c r="L59" s="45"/>
      <c r="M59" s="45"/>
      <c r="N59" s="52"/>
      <c r="O59" s="52"/>
      <c r="P59" s="45"/>
      <c r="Q59" s="45"/>
      <c r="R59" s="45"/>
      <c r="V59" s="57"/>
      <c r="W59" s="57"/>
    </row>
    <row r="60">
      <c r="B60" s="19"/>
      <c r="C60" s="30" t="s">
        <v>52</v>
      </c>
      <c r="D60" s="35">
        <f>J32</f>
        <v>225000</v>
      </c>
      <c r="K60" s="20"/>
      <c r="L60" s="45"/>
      <c r="M60" s="45"/>
      <c r="N60" s="52"/>
      <c r="O60" s="58"/>
      <c r="P60" s="45"/>
      <c r="Q60" s="45"/>
      <c r="R60" s="45"/>
      <c r="V60" s="59"/>
      <c r="W60" s="59"/>
    </row>
    <row r="61">
      <c r="B61" s="19"/>
      <c r="C61" s="38" t="s">
        <v>57</v>
      </c>
      <c r="D61" s="41">
        <f>SUM(D59:D60)</f>
        <v>525000</v>
      </c>
      <c r="K61" s="20"/>
      <c r="L61" s="45"/>
      <c r="M61" s="45"/>
      <c r="N61" s="52"/>
      <c r="O61" s="60"/>
      <c r="P61" s="45"/>
      <c r="Q61" s="45"/>
      <c r="R61" s="45"/>
      <c r="V61" s="59"/>
      <c r="W61" s="59"/>
    </row>
    <row r="62">
      <c r="B62" s="19"/>
      <c r="K62" s="20"/>
      <c r="L62" s="45"/>
      <c r="M62" s="45"/>
      <c r="N62" s="52"/>
      <c r="O62" s="61"/>
      <c r="P62" s="45"/>
      <c r="Q62" s="45"/>
      <c r="R62" s="45"/>
    </row>
    <row r="63">
      <c r="B63" s="19"/>
      <c r="K63" s="20"/>
      <c r="L63" s="45"/>
      <c r="M63" s="45"/>
      <c r="N63" s="52"/>
      <c r="O63" s="58"/>
      <c r="P63" s="45"/>
      <c r="Q63" s="45"/>
      <c r="R63" s="45"/>
    </row>
    <row r="64">
      <c r="B64" s="19"/>
      <c r="K64" s="20"/>
      <c r="L64" s="45"/>
      <c r="M64" s="45"/>
      <c r="N64" s="52"/>
      <c r="O64" s="52"/>
      <c r="P64" s="45"/>
      <c r="Q64" s="45"/>
      <c r="R64" s="45"/>
    </row>
    <row r="65">
      <c r="B65" s="19"/>
      <c r="K65" s="20"/>
      <c r="L65" s="45"/>
      <c r="M65" s="45"/>
      <c r="N65" s="52"/>
      <c r="O65" s="58"/>
      <c r="P65" s="45"/>
      <c r="Q65" s="45"/>
      <c r="R65" s="45"/>
    </row>
    <row r="66">
      <c r="B66" s="19"/>
      <c r="K66" s="20"/>
      <c r="L66" s="45"/>
      <c r="M66" s="45"/>
      <c r="N66" s="52"/>
      <c r="O66" s="52"/>
      <c r="P66" s="45"/>
      <c r="Q66" s="45"/>
      <c r="R66" s="45"/>
    </row>
    <row r="67">
      <c r="B67" s="19"/>
      <c r="K67" s="20"/>
      <c r="L67" s="45"/>
      <c r="M67" s="45"/>
      <c r="N67" s="62"/>
      <c r="O67" s="62"/>
      <c r="P67" s="45"/>
      <c r="Q67" s="45"/>
      <c r="R67" s="45"/>
    </row>
    <row r="68">
      <c r="B68" s="19"/>
      <c r="K68" s="20"/>
      <c r="L68" s="45"/>
      <c r="M68" s="45"/>
      <c r="N68" s="45"/>
      <c r="O68" s="45"/>
      <c r="P68" s="45"/>
      <c r="Q68" s="45"/>
      <c r="R68" s="45"/>
    </row>
    <row r="69">
      <c r="B69" s="19"/>
      <c r="K69" s="20"/>
      <c r="L69" s="45"/>
      <c r="M69" s="45"/>
      <c r="N69" s="45"/>
      <c r="O69" s="45"/>
      <c r="P69" s="45"/>
      <c r="Q69" s="45"/>
      <c r="R69" s="45"/>
      <c r="X69" s="63"/>
    </row>
    <row r="70">
      <c r="B70" s="42"/>
      <c r="C70" s="43"/>
      <c r="D70" s="43"/>
      <c r="E70" s="43"/>
      <c r="F70" s="43"/>
      <c r="G70" s="43"/>
      <c r="H70" s="43"/>
      <c r="I70" s="43"/>
      <c r="J70" s="43"/>
      <c r="K70" s="44"/>
      <c r="L70" s="45"/>
      <c r="M70" s="45"/>
      <c r="N70" s="45"/>
      <c r="O70" s="45"/>
      <c r="P70" s="45"/>
      <c r="Q70" s="45"/>
      <c r="R70" s="45"/>
    </row>
    <row r="71">
      <c r="L71" s="45"/>
      <c r="M71" s="45"/>
      <c r="N71" s="45"/>
      <c r="O71" s="45"/>
      <c r="P71" s="45"/>
      <c r="Q71" s="45"/>
      <c r="R71" s="45"/>
    </row>
    <row r="72">
      <c r="B72" s="2"/>
      <c r="C72" s="2"/>
      <c r="D72" s="2"/>
      <c r="L72" s="45"/>
      <c r="M72" s="45"/>
      <c r="N72" s="45"/>
      <c r="O72" s="45"/>
      <c r="P72" s="45"/>
      <c r="Q72" s="45"/>
      <c r="R72" s="45"/>
    </row>
    <row r="79">
      <c r="O79" s="2"/>
    </row>
    <row r="80">
      <c r="O80" s="2"/>
    </row>
    <row r="81">
      <c r="M81" s="2"/>
      <c r="N81" s="2"/>
      <c r="O81" s="2"/>
    </row>
    <row r="82">
      <c r="M82" s="2"/>
      <c r="N82" s="2"/>
      <c r="O82" s="2"/>
    </row>
  </sheetData>
  <mergeCells count="15">
    <mergeCell ref="AF50:AG50"/>
    <mergeCell ref="N51:O52"/>
    <mergeCell ref="U53:Y54"/>
    <mergeCell ref="C55:D56"/>
    <mergeCell ref="U56:W56"/>
    <mergeCell ref="U57:W57"/>
    <mergeCell ref="U58:W58"/>
    <mergeCell ref="X69:Y69"/>
    <mergeCell ref="K4:M7"/>
    <mergeCell ref="H9:Q9"/>
    <mergeCell ref="B16:K20"/>
    <mergeCell ref="N18:R19"/>
    <mergeCell ref="V18:X19"/>
    <mergeCell ref="C23:F24"/>
    <mergeCell ref="H23:J24"/>
  </mergeCells>
  <drawing r:id="rId1"/>
</worksheet>
</file>